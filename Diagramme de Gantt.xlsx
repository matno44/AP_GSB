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me de Gantt" sheetId="1" r:id="rId4"/>
  </sheets>
  <definedNames/>
  <calcPr/>
</workbook>
</file>

<file path=xl/sharedStrings.xml><?xml version="1.0" encoding="utf-8"?>
<sst xmlns="http://schemas.openxmlformats.org/spreadsheetml/2006/main" count="149" uniqueCount="64">
  <si>
    <t xml:space="preserve"> DIAGRAMME DE GANTT</t>
  </si>
  <si>
    <t>Astuce de 
Smartsheet ➜</t>
  </si>
  <si>
    <t xml:space="preserve">La chronologie visuelle d'un diagramme de Gantt donne un aperçu détaillé des tâches et des dépendances d'un projet. </t>
  </si>
  <si>
    <t>TITRE DU PROJET</t>
  </si>
  <si>
    <t>AP_GSB</t>
  </si>
  <si>
    <t>NOM DE L'ENTREPRISE</t>
  </si>
  <si>
    <t>Gestion des Frais</t>
  </si>
  <si>
    <t>CHEF DE PROJET</t>
  </si>
  <si>
    <t>Ruben et Matisse</t>
  </si>
  <si>
    <t>DATE</t>
  </si>
  <si>
    <t>NUMÉRO</t>
  </si>
  <si>
    <t>TITRE DE LA TÂCHE</t>
  </si>
  <si>
    <t>PROPRIÉTAIRE 
DE LA TÂCHE</t>
  </si>
  <si>
    <t>DATE DE DÉBUT</t>
  </si>
  <si>
    <t>DATE LIMITE</t>
  </si>
  <si>
    <t>DURÉE</t>
  </si>
  <si>
    <t>PHASE UNE</t>
  </si>
  <si>
    <t>PHASE DEUX</t>
  </si>
  <si>
    <t>PHASE TROIS</t>
  </si>
  <si>
    <t>PHASE QUATRE</t>
  </si>
  <si>
    <t>Semaine du 31/08</t>
  </si>
  <si>
    <t>Semaine du 07/09</t>
  </si>
  <si>
    <t>Semaine du 14/09</t>
  </si>
  <si>
    <t>Semaine du 21/09</t>
  </si>
  <si>
    <t>Semaine du 28/09</t>
  </si>
  <si>
    <t>Semaine du 05/10</t>
  </si>
  <si>
    <t>Semaine du 12/10</t>
  </si>
  <si>
    <t>Semaine du 19/10</t>
  </si>
  <si>
    <t>Semaine du 26/10</t>
  </si>
  <si>
    <t>Semaine du 02/11</t>
  </si>
  <si>
    <t>Semaine du 09/11</t>
  </si>
  <si>
    <t>Semaine du 16/11</t>
  </si>
  <si>
    <t>L</t>
  </si>
  <si>
    <t>M</t>
  </si>
  <si>
    <t>J</t>
  </si>
  <si>
    <t>V</t>
  </si>
  <si>
    <t>S</t>
  </si>
  <si>
    <t>D</t>
  </si>
  <si>
    <t>Conception et mise en route du projet</t>
  </si>
  <si>
    <t>Cahier des charges &amp; UML</t>
  </si>
  <si>
    <t>nom</t>
  </si>
  <si>
    <t>1.1.1</t>
  </si>
  <si>
    <t>Maquettage UI visiteur</t>
  </si>
  <si>
    <t>Matisse</t>
  </si>
  <si>
    <t>1.1.2</t>
  </si>
  <si>
    <t>Maquettage UI comptable</t>
  </si>
  <si>
    <t>Ruben</t>
  </si>
  <si>
    <t>integration et espace visiteur</t>
  </si>
  <si>
    <t>installe Symphony et bdd</t>
  </si>
  <si>
    <t>Ruben + Matisse</t>
  </si>
  <si>
    <t>Authentification</t>
  </si>
  <si>
    <t>Calcul indemnité</t>
  </si>
  <si>
    <t>Nom</t>
  </si>
  <si>
    <t>Upload justificatif</t>
  </si>
  <si>
    <t>ui visiteur</t>
  </si>
  <si>
    <t>espace Comptable</t>
  </si>
  <si>
    <t>Logique frais forfaitisé</t>
  </si>
  <si>
    <t>Logique hors forfait</t>
  </si>
  <si>
    <t>3.2.1</t>
  </si>
  <si>
    <t>UI Comptable + test</t>
  </si>
  <si>
    <t>export</t>
  </si>
  <si>
    <t>test Complet</t>
  </si>
  <si>
    <t>livraison et notice</t>
  </si>
  <si>
    <t>Total (jours homme)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</si>
</sst>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&quot;$&quot;#,##0.00"/>
    <numFmt numFmtId="166" formatCode="d.m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  <font>
      <b/>
      <sz val="11.0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</fills>
  <borders count="24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bottom style="hair">
        <color rgb="FF000000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000000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000000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000000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1"/>
    </xf>
    <xf borderId="1" fillId="2" fontId="10" numFmtId="0" xfId="0" applyAlignment="1" applyBorder="1" applyFill="1" applyFont="1">
      <alignment readingOrder="0" shrinkToFit="0" vertical="center" wrapText="1"/>
    </xf>
    <xf borderId="0" fillId="2" fontId="10" numFmtId="0" xfId="0" applyAlignment="1" applyFill="1" applyFont="1">
      <alignment readingOrder="0" shrinkToFit="0" vertical="center" wrapText="1"/>
    </xf>
    <xf borderId="0" fillId="2" fontId="11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ill="1" applyFont="1">
      <alignment readingOrder="0" shrinkToFit="0" vertical="center" wrapText="0"/>
    </xf>
    <xf borderId="0" fillId="2" fontId="14" numFmtId="0" xfId="0" applyAlignment="1" applyFill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7" numFmtId="0" xfId="0" applyAlignment="1" applyBorder="1" applyFill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7" numFmtId="0" xfId="0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ill="1" applyFont="1">
      <alignment shrinkToFit="0" vertical="center" wrapText="0"/>
    </xf>
    <xf borderId="0" fillId="2" fontId="19" numFmtId="0" xfId="0" applyAlignment="1" applyFill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3" fillId="4" fontId="21" numFmtId="0" xfId="0" applyAlignment="1" applyBorder="1" applyFill="1" applyFont="1">
      <alignment horizontal="center" readingOrder="0" shrinkToFit="0" vertical="center" wrapText="0"/>
    </xf>
    <xf borderId="3" fillId="5" fontId="21" numFmtId="0" xfId="0" applyAlignment="1" applyBorder="1" applyFill="1" applyFont="1">
      <alignment horizontal="center" readingOrder="0" shrinkToFit="0" vertical="center" wrapText="0"/>
    </xf>
    <xf borderId="3" fillId="6" fontId="21" numFmtId="0" xfId="0" applyAlignment="1" applyBorder="1" applyFill="1" applyFont="1">
      <alignment horizontal="center" readingOrder="0" shrinkToFit="0" vertical="center" wrapText="0"/>
    </xf>
    <xf borderId="3" fillId="7" fontId="21" numFmtId="0" xfId="0" applyAlignment="1" applyBorder="1" applyFill="1" applyFont="1">
      <alignment horizontal="center" readingOrder="0" shrinkToFit="0" vertical="center" wrapText="0"/>
    </xf>
    <xf borderId="0" fillId="0" fontId="22" numFmtId="0" xfId="0" applyAlignment="1" applyFont="1">
      <alignment vertical="center"/>
    </xf>
    <xf borderId="4" fillId="8" fontId="21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4" fillId="9" fontId="21" numFmtId="0" xfId="0" applyAlignment="1" applyBorder="1" applyFill="1" applyFont="1">
      <alignment horizontal="center" readingOrder="0" shrinkToFit="0" vertical="center" wrapText="0"/>
    </xf>
    <xf borderId="4" fillId="10" fontId="21" numFmtId="0" xfId="0" applyAlignment="1" applyBorder="1" applyFill="1" applyFont="1">
      <alignment horizontal="center" readingOrder="0" shrinkToFit="0" vertical="center" wrapText="0"/>
    </xf>
    <xf borderId="4" fillId="11" fontId="21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7" fillId="12" fontId="24" numFmtId="0" xfId="0" applyAlignment="1" applyBorder="1" applyFill="1" applyFont="1">
      <alignment horizontal="center" readingOrder="0" shrinkToFit="0" vertical="center" wrapText="0"/>
    </xf>
    <xf borderId="7" fillId="13" fontId="24" numFmtId="0" xfId="0" applyAlignment="1" applyBorder="1" applyFill="1" applyFont="1">
      <alignment horizontal="center" readingOrder="0" shrinkToFit="0" vertical="center" wrapText="0"/>
    </xf>
    <xf borderId="7" fillId="14" fontId="24" numFmtId="0" xfId="0" applyAlignment="1" applyBorder="1" applyFill="1" applyFont="1">
      <alignment horizontal="center" readingOrder="0" shrinkToFit="0" vertical="center" wrapText="0"/>
    </xf>
    <xf borderId="7" fillId="15" fontId="24" numFmtId="0" xfId="0" applyAlignment="1" applyBorder="1" applyFill="1" applyFont="1">
      <alignment horizontal="center" readingOrder="0" shrinkToFit="0" vertical="center" wrapText="0"/>
    </xf>
    <xf borderId="0" fillId="15" fontId="24" numFmtId="0" xfId="0" applyAlignment="1" applyFill="1" applyFont="1">
      <alignment horizontal="center" readingOrder="0" shrinkToFit="0" vertical="center" wrapText="0"/>
    </xf>
    <xf borderId="8" fillId="16" fontId="25" numFmtId="0" xfId="0" applyAlignment="1" applyBorder="1" applyFill="1" applyFont="1">
      <alignment horizontal="left" readingOrder="0" shrinkToFit="0" vertical="center" wrapText="1"/>
    </xf>
    <xf borderId="8" fillId="16" fontId="25" numFmtId="0" xfId="0" applyAlignment="1" applyBorder="1" applyFill="1" applyFont="1">
      <alignment readingOrder="0" shrinkToFit="0" vertical="center" wrapText="0"/>
    </xf>
    <xf borderId="8" fillId="16" fontId="25" numFmtId="0" xfId="0" applyAlignment="1" applyBorder="1" applyFill="1" applyFont="1">
      <alignment readingOrder="0" shrinkToFit="0" vertical="center" wrapText="1"/>
    </xf>
    <xf borderId="0" fillId="16" fontId="25" numFmtId="0" xfId="0" applyAlignment="1" applyFill="1" applyFont="1">
      <alignment horizontal="center" shrinkToFit="0" vertical="center" wrapText="0"/>
    </xf>
    <xf borderId="0" fillId="16" fontId="25" numFmtId="165" xfId="0" applyAlignment="1" applyFill="1" applyFont="1" applyNumberFormat="1">
      <alignment horizontal="center" shrinkToFit="0" vertical="center" wrapText="0"/>
    </xf>
    <xf borderId="0" fillId="16" fontId="25" numFmtId="3" xfId="0" applyAlignment="1" applyFill="1" applyFont="1" applyNumberFormat="1">
      <alignment horizontal="center" shrinkToFit="0" vertical="center" wrapText="0"/>
    </xf>
    <xf borderId="0" fillId="16" fontId="25" numFmtId="0" xfId="0" applyAlignment="1" applyFill="1" applyFont="1">
      <alignment horizontal="center" shrinkToFit="0" vertical="center" wrapText="0"/>
    </xf>
    <xf borderId="0" fillId="0" fontId="26" numFmtId="0" xfId="0" applyAlignment="1" applyFont="1">
      <alignment vertical="center"/>
    </xf>
    <xf borderId="9" fillId="0" fontId="27" numFmtId="166" xfId="0" applyAlignment="1" applyBorder="1" applyFont="1" applyNumberFormat="1">
      <alignment horizontal="left" readingOrder="0" shrinkToFit="0" vertical="center" wrapText="1"/>
    </xf>
    <xf borderId="9" fillId="0" fontId="27" numFmtId="0" xfId="0" applyAlignment="1" applyBorder="1" applyFont="1">
      <alignment readingOrder="0" shrinkToFit="0" vertical="center" wrapText="1"/>
    </xf>
    <xf borderId="9" fillId="0" fontId="27" numFmtId="164" xfId="0" applyAlignment="1" applyBorder="1" applyFont="1" applyNumberFormat="1">
      <alignment horizontal="left" readingOrder="0" shrinkToFit="0" vertical="center" wrapText="1"/>
    </xf>
    <xf borderId="9" fillId="0" fontId="27" numFmtId="0" xfId="0" applyAlignment="1" applyBorder="1" applyFont="1">
      <alignment horizontal="center" readingOrder="0" shrinkToFit="0" vertical="center" wrapText="1"/>
    </xf>
    <xf borderId="10" fillId="2" fontId="28" numFmtId="9" xfId="0" applyAlignment="1" applyBorder="1" applyFill="1" applyFont="1" applyNumberFormat="1">
      <alignment horizontal="center" shrinkToFit="0" vertical="center" wrapText="0"/>
    </xf>
    <xf borderId="11" fillId="2" fontId="28" numFmtId="165" xfId="0" applyAlignment="1" applyBorder="1" applyFill="1" applyFont="1" applyNumberFormat="1">
      <alignment horizontal="center" shrinkToFit="0" vertical="center" wrapText="0"/>
    </xf>
    <xf borderId="11" fillId="2" fontId="28" numFmtId="0" xfId="0" applyAlignment="1" applyBorder="1" applyFill="1" applyFont="1">
      <alignment horizontal="center" shrinkToFit="0" vertical="center" wrapText="0"/>
    </xf>
    <xf borderId="11" fillId="2" fontId="28" numFmtId="0" xfId="0" applyAlignment="1" applyBorder="1" applyFill="1" applyFont="1">
      <alignment horizontal="center" shrinkToFit="0" vertical="center" wrapText="0"/>
    </xf>
    <xf borderId="12" fillId="2" fontId="28" numFmtId="0" xfId="0" applyAlignment="1" applyBorder="1" applyFill="1" applyFont="1">
      <alignment horizontal="center" shrinkToFit="0" vertical="center" wrapText="0"/>
    </xf>
    <xf borderId="0" fillId="2" fontId="28" numFmtId="0" xfId="0" applyAlignment="1" applyFill="1" applyFont="1">
      <alignment horizontal="center" shrinkToFit="0" vertical="center" wrapText="0"/>
    </xf>
    <xf borderId="13" fillId="0" fontId="27" numFmtId="49" xfId="0" applyAlignment="1" applyBorder="1" applyFont="1" applyNumberFormat="1">
      <alignment horizontal="left" readingOrder="0" shrinkToFit="0" vertical="center" wrapText="1"/>
    </xf>
    <xf borderId="13" fillId="0" fontId="27" numFmtId="0" xfId="0" applyAlignment="1" applyBorder="1" applyFont="1">
      <alignment readingOrder="0" shrinkToFit="0" vertical="center" wrapText="1"/>
    </xf>
    <xf borderId="13" fillId="0" fontId="27" numFmtId="164" xfId="0" applyAlignment="1" applyBorder="1" applyFont="1" applyNumberFormat="1">
      <alignment horizontal="left" readingOrder="0" shrinkToFit="0" vertical="center" wrapText="1"/>
    </xf>
    <xf borderId="13" fillId="0" fontId="27" numFmtId="0" xfId="0" applyAlignment="1" applyBorder="1" applyFont="1">
      <alignment horizontal="center" readingOrder="0" shrinkToFit="0" vertical="center" wrapText="1"/>
    </xf>
    <xf borderId="14" fillId="2" fontId="28" numFmtId="9" xfId="0" applyAlignment="1" applyBorder="1" applyFill="1" applyFont="1" applyNumberFormat="1">
      <alignment horizontal="center" shrinkToFit="0" vertical="center" wrapText="0"/>
    </xf>
    <xf borderId="15" fillId="2" fontId="28" numFmtId="165" xfId="0" applyAlignment="1" applyBorder="1" applyFill="1" applyFont="1" applyNumberFormat="1">
      <alignment horizontal="center" shrinkToFit="0" vertical="center" wrapText="0"/>
    </xf>
    <xf borderId="15" fillId="2" fontId="28" numFmtId="0" xfId="0" applyAlignment="1" applyBorder="1" applyFill="1" applyFont="1">
      <alignment horizontal="center" shrinkToFit="0" vertical="center" wrapText="0"/>
    </xf>
    <xf borderId="15" fillId="2" fontId="28" numFmtId="0" xfId="0" applyAlignment="1" applyBorder="1" applyFill="1" applyFont="1">
      <alignment horizontal="center" shrinkToFit="0" vertical="center" wrapText="0"/>
    </xf>
    <xf borderId="16" fillId="2" fontId="28" numFmtId="0" xfId="0" applyAlignment="1" applyBorder="1" applyFill="1" applyFont="1">
      <alignment horizontal="center" shrinkToFit="0" vertical="center" wrapText="0"/>
    </xf>
    <xf borderId="0" fillId="2" fontId="25" numFmtId="0" xfId="0" applyAlignment="1" applyFill="1" applyFont="1">
      <alignment horizontal="center" shrinkToFit="0" vertical="center" wrapText="0"/>
    </xf>
    <xf borderId="0" fillId="2" fontId="25" numFmtId="165" xfId="0" applyAlignment="1" applyFill="1" applyFont="1" applyNumberFormat="1">
      <alignment horizontal="center" shrinkToFit="0" vertical="center" wrapText="0"/>
    </xf>
    <xf borderId="0" fillId="2" fontId="25" numFmtId="3" xfId="0" applyAlignment="1" applyFill="1" applyFont="1" applyNumberFormat="1">
      <alignment horizontal="center" shrinkToFit="0" vertical="center" wrapText="0"/>
    </xf>
    <xf borderId="0" fillId="2" fontId="25" numFmtId="0" xfId="0" applyAlignment="1" applyFill="1" applyFont="1">
      <alignment horizontal="center" shrinkToFit="0" vertical="center" wrapText="0"/>
    </xf>
    <xf borderId="17" fillId="2" fontId="28" numFmtId="9" xfId="0" applyAlignment="1" applyBorder="1" applyFill="1" applyFont="1" applyNumberFormat="1">
      <alignment horizontal="center" shrinkToFit="0" vertical="center" wrapText="0"/>
    </xf>
    <xf borderId="18" fillId="2" fontId="28" numFmtId="0" xfId="0" applyAlignment="1" applyBorder="1" applyFill="1" applyFont="1">
      <alignment horizontal="center" shrinkToFit="0" vertical="center" wrapText="0"/>
    </xf>
    <xf borderId="0" fillId="2" fontId="28" numFmtId="0" xfId="0" applyAlignment="1" applyFill="1" applyFont="1">
      <alignment horizontal="center" shrinkToFit="0" vertical="center" wrapText="0"/>
    </xf>
    <xf borderId="19" fillId="2" fontId="28" numFmtId="0" xfId="0" applyAlignment="1" applyBorder="1" applyFill="1" applyFont="1">
      <alignment horizontal="center" shrinkToFit="0" vertical="center" wrapText="0"/>
    </xf>
    <xf borderId="19" fillId="2" fontId="28" numFmtId="0" xfId="0" applyAlignment="1" applyBorder="1" applyFill="1" applyFont="1">
      <alignment horizontal="center" shrinkToFit="0" vertical="center" wrapText="0"/>
    </xf>
    <xf borderId="20" fillId="2" fontId="28" numFmtId="165" xfId="0" applyAlignment="1" applyBorder="1" applyFill="1" applyFont="1" applyNumberFormat="1">
      <alignment horizontal="center" shrinkToFit="0" vertical="center" wrapText="0"/>
    </xf>
    <xf borderId="21" fillId="2" fontId="28" numFmtId="0" xfId="0" applyAlignment="1" applyBorder="1" applyFill="1" applyFont="1">
      <alignment horizontal="center" shrinkToFit="0" vertical="center" wrapText="0"/>
    </xf>
    <xf borderId="22" fillId="2" fontId="28" numFmtId="0" xfId="0" applyAlignment="1" applyBorder="1" applyFill="1" applyFont="1">
      <alignment horizontal="center" shrinkToFit="0" vertical="center" wrapText="0"/>
    </xf>
    <xf borderId="20" fillId="2" fontId="28" numFmtId="0" xfId="0" applyAlignment="1" applyBorder="1" applyFill="1" applyFont="1">
      <alignment horizontal="center" shrinkToFit="0" vertical="center" wrapText="0"/>
    </xf>
    <xf borderId="20" fillId="2" fontId="28" numFmtId="0" xfId="0" applyAlignment="1" applyBorder="1" applyFill="1" applyFont="1">
      <alignment horizontal="center" shrinkToFit="0" vertical="center" wrapText="0"/>
    </xf>
    <xf borderId="20" fillId="2" fontId="29" numFmtId="0" xfId="0" applyBorder="1" applyFill="1" applyFont="1"/>
    <xf borderId="22" fillId="2" fontId="29" numFmtId="0" xfId="0" applyBorder="1" applyFill="1" applyFont="1"/>
    <xf borderId="23" fillId="2" fontId="28" numFmtId="0" xfId="0" applyAlignment="1" applyBorder="1" applyFill="1" applyFont="1">
      <alignment horizontal="center" shrinkToFit="0" vertical="center" wrapText="0"/>
    </xf>
    <xf borderId="0" fillId="0" fontId="27" numFmtId="166" xfId="0" applyAlignment="1" applyFont="1" applyNumberFormat="1">
      <alignment horizontal="left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9" fillId="0" fontId="27" numFmtId="49" xfId="0" applyAlignment="1" applyBorder="1" applyFont="1" applyNumberFormat="1">
      <alignment horizontal="left" readingOrder="0" shrinkToFit="0" vertical="center" wrapText="1"/>
    </xf>
    <xf borderId="0" fillId="2" fontId="28" numFmtId="9" xfId="0" applyAlignment="1" applyFill="1" applyFont="1" applyNumberFormat="1">
      <alignment horizontal="center" shrinkToFit="0" vertical="center" wrapText="0"/>
    </xf>
    <xf borderId="0" fillId="0" fontId="30" numFmtId="0" xfId="0" applyAlignment="1" applyFont="1">
      <alignment readingOrder="0" vertical="center"/>
    </xf>
    <xf borderId="0" fillId="0" fontId="30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5B9BD5"/>
          <bgColor rgb="FF5B9B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3.88"/>
    <col customWidth="1" min="4" max="4" width="15.38"/>
    <col customWidth="1" min="5" max="6" width="10.5"/>
    <col customWidth="1" min="7" max="7" width="8.63"/>
    <col customWidth="1" min="8" max="91" width="3.0"/>
    <col customWidth="1" min="92" max="92" width="3.38"/>
  </cols>
  <sheetData>
    <row r="1" ht="21.0" customHeight="1">
      <c r="A1" s="1"/>
      <c r="B1" s="2"/>
      <c r="C1" s="3"/>
      <c r="D1" s="3"/>
      <c r="E1" s="3"/>
      <c r="F1" s="4"/>
      <c r="G1" s="4"/>
      <c r="H1" s="5"/>
      <c r="I1" s="6"/>
      <c r="J1" s="7"/>
      <c r="K1" s="8"/>
      <c r="L1" s="7"/>
      <c r="M1" s="7"/>
      <c r="N1" s="7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 t="s">
        <v>1</v>
      </c>
      <c r="I2" s="12"/>
      <c r="J2" s="12"/>
      <c r="K2" s="12"/>
      <c r="L2" s="12"/>
      <c r="M2" s="12"/>
      <c r="N2" s="12"/>
      <c r="O2" s="12"/>
      <c r="P2" s="14" t="s">
        <v>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5"/>
      <c r="AP2" s="15"/>
      <c r="AQ2" s="16"/>
      <c r="AR2" s="16"/>
      <c r="AS2" s="16"/>
      <c r="AT2" s="16"/>
      <c r="AU2" s="16"/>
      <c r="AV2" s="16"/>
      <c r="AW2" s="16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ht="21.0" customHeight="1">
      <c r="A3" s="1"/>
      <c r="B3" s="17"/>
      <c r="C3" s="17"/>
      <c r="D3" s="18"/>
      <c r="E3" s="18"/>
      <c r="F3" s="18"/>
      <c r="G3" s="18"/>
      <c r="H3" s="19"/>
      <c r="I3" s="19"/>
      <c r="J3" s="19"/>
      <c r="K3" s="19"/>
      <c r="L3" s="20"/>
      <c r="M3" s="20"/>
      <c r="N3" s="20"/>
      <c r="O3" s="20"/>
      <c r="P3" s="2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1" t="s">
        <v>5</v>
      </c>
      <c r="I4" s="22"/>
      <c r="J4" s="22"/>
      <c r="K4" s="22"/>
      <c r="L4" s="22"/>
      <c r="M4" s="22"/>
      <c r="N4" s="22"/>
      <c r="O4" s="22"/>
      <c r="P4" s="22"/>
      <c r="Q4" s="24" t="s">
        <v>6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5"/>
      <c r="AI4" s="25"/>
      <c r="AJ4" s="26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1" t="s">
        <v>9</v>
      </c>
      <c r="I5" s="22"/>
      <c r="J5" s="22"/>
      <c r="K5" s="22"/>
      <c r="L5" s="22"/>
      <c r="M5" s="22"/>
      <c r="N5" s="22"/>
      <c r="O5" s="22"/>
      <c r="P5" s="22"/>
      <c r="Q5" s="28">
        <v>46267.0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9"/>
      <c r="AH5" s="30"/>
      <c r="AI5" s="30"/>
      <c r="AJ5" s="26"/>
      <c r="AK5" s="1"/>
      <c r="AL5" s="1"/>
      <c r="AM5" s="1"/>
      <c r="AN5" s="1"/>
      <c r="AO5" s="1"/>
      <c r="AP5" s="1"/>
      <c r="AQ5" s="1"/>
      <c r="AR5" s="1"/>
      <c r="AS5" s="1"/>
      <c r="AT5" s="1"/>
      <c r="AU5" s="31"/>
      <c r="AV5" s="31"/>
      <c r="AW5" s="3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ht="21.0" customHeight="1">
      <c r="A6" s="32"/>
      <c r="B6" s="33"/>
      <c r="C6" s="33"/>
      <c r="D6" s="33"/>
      <c r="E6" s="33"/>
      <c r="F6" s="33"/>
      <c r="G6" s="34"/>
      <c r="H6" s="33"/>
      <c r="I6" s="33"/>
      <c r="J6" s="33"/>
      <c r="K6" s="33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</row>
    <row r="7" ht="21.0" customHeight="1">
      <c r="A7" s="32"/>
      <c r="B7" s="33"/>
      <c r="C7" s="33"/>
      <c r="D7" s="33"/>
      <c r="E7" s="33"/>
      <c r="F7" s="33"/>
      <c r="G7" s="34"/>
      <c r="H7" s="33"/>
      <c r="I7" s="33"/>
      <c r="J7" s="33"/>
      <c r="K7" s="33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7" t="s">
        <v>16</v>
      </c>
      <c r="AC8" s="38" t="s">
        <v>17</v>
      </c>
      <c r="AX8" s="39" t="s">
        <v>18</v>
      </c>
      <c r="BS8" s="40" t="s">
        <v>19</v>
      </c>
      <c r="CN8" s="32"/>
    </row>
    <row r="9" ht="17.25" customHeight="1">
      <c r="A9" s="41"/>
      <c r="H9" s="42" t="s">
        <v>20</v>
      </c>
      <c r="I9" s="43"/>
      <c r="J9" s="43"/>
      <c r="K9" s="43"/>
      <c r="L9" s="43"/>
      <c r="M9" s="43"/>
      <c r="N9" s="44"/>
      <c r="O9" s="42" t="s">
        <v>21</v>
      </c>
      <c r="P9" s="43"/>
      <c r="Q9" s="43"/>
      <c r="R9" s="43"/>
      <c r="S9" s="43"/>
      <c r="T9" s="43"/>
      <c r="U9" s="44"/>
      <c r="V9" s="42" t="s">
        <v>22</v>
      </c>
      <c r="W9" s="43"/>
      <c r="X9" s="43"/>
      <c r="Y9" s="43"/>
      <c r="Z9" s="43"/>
      <c r="AA9" s="43"/>
      <c r="AB9" s="44"/>
      <c r="AC9" s="45" t="s">
        <v>23</v>
      </c>
      <c r="AD9" s="43"/>
      <c r="AE9" s="43"/>
      <c r="AF9" s="43"/>
      <c r="AG9" s="43"/>
      <c r="AH9" s="43"/>
      <c r="AI9" s="44"/>
      <c r="AJ9" s="45" t="s">
        <v>24</v>
      </c>
      <c r="AK9" s="43"/>
      <c r="AL9" s="43"/>
      <c r="AM9" s="43"/>
      <c r="AN9" s="43"/>
      <c r="AO9" s="43"/>
      <c r="AP9" s="44"/>
      <c r="AQ9" s="45" t="s">
        <v>25</v>
      </c>
      <c r="AR9" s="43"/>
      <c r="AS9" s="43"/>
      <c r="AT9" s="43"/>
      <c r="AU9" s="43"/>
      <c r="AV9" s="43"/>
      <c r="AW9" s="44"/>
      <c r="AX9" s="46" t="s">
        <v>26</v>
      </c>
      <c r="AY9" s="43"/>
      <c r="AZ9" s="43"/>
      <c r="BA9" s="43"/>
      <c r="BB9" s="43"/>
      <c r="BC9" s="43"/>
      <c r="BD9" s="44"/>
      <c r="BE9" s="46" t="s">
        <v>27</v>
      </c>
      <c r="BF9" s="43"/>
      <c r="BG9" s="43"/>
      <c r="BH9" s="43"/>
      <c r="BI9" s="43"/>
      <c r="BJ9" s="43"/>
      <c r="BK9" s="44"/>
      <c r="BL9" s="46" t="s">
        <v>28</v>
      </c>
      <c r="BM9" s="43"/>
      <c r="BN9" s="43"/>
      <c r="BO9" s="43"/>
      <c r="BP9" s="43"/>
      <c r="BQ9" s="43"/>
      <c r="BR9" s="44"/>
      <c r="BS9" s="47" t="s">
        <v>29</v>
      </c>
      <c r="BT9" s="43"/>
      <c r="BU9" s="43"/>
      <c r="BV9" s="43"/>
      <c r="BW9" s="43"/>
      <c r="BX9" s="43"/>
      <c r="BY9" s="44"/>
      <c r="BZ9" s="47" t="s">
        <v>30</v>
      </c>
      <c r="CA9" s="43"/>
      <c r="CB9" s="43"/>
      <c r="CC9" s="43"/>
      <c r="CD9" s="43"/>
      <c r="CE9" s="43"/>
      <c r="CF9" s="44"/>
      <c r="CG9" s="47" t="s">
        <v>31</v>
      </c>
      <c r="CH9" s="43"/>
      <c r="CI9" s="43"/>
      <c r="CJ9" s="43"/>
      <c r="CK9" s="43"/>
      <c r="CL9" s="43"/>
      <c r="CM9" s="43"/>
      <c r="CN9" s="41"/>
    </row>
    <row r="10" ht="17.25" customHeight="1">
      <c r="A10" s="48"/>
      <c r="H10" s="49" t="s">
        <v>32</v>
      </c>
      <c r="I10" s="49" t="s">
        <v>33</v>
      </c>
      <c r="J10" s="49" t="s">
        <v>33</v>
      </c>
      <c r="K10" s="49" t="s">
        <v>34</v>
      </c>
      <c r="L10" s="49" t="s">
        <v>35</v>
      </c>
      <c r="M10" s="49" t="s">
        <v>36</v>
      </c>
      <c r="N10" s="49" t="s">
        <v>37</v>
      </c>
      <c r="O10" s="49" t="s">
        <v>32</v>
      </c>
      <c r="P10" s="49" t="s">
        <v>33</v>
      </c>
      <c r="Q10" s="49" t="s">
        <v>33</v>
      </c>
      <c r="R10" s="49" t="s">
        <v>34</v>
      </c>
      <c r="S10" s="49" t="s">
        <v>35</v>
      </c>
      <c r="T10" s="49" t="s">
        <v>36</v>
      </c>
      <c r="U10" s="49" t="s">
        <v>37</v>
      </c>
      <c r="V10" s="49" t="s">
        <v>32</v>
      </c>
      <c r="W10" s="49" t="s">
        <v>33</v>
      </c>
      <c r="X10" s="49" t="s">
        <v>33</v>
      </c>
      <c r="Y10" s="49" t="s">
        <v>34</v>
      </c>
      <c r="Z10" s="49" t="s">
        <v>35</v>
      </c>
      <c r="AA10" s="49" t="s">
        <v>36</v>
      </c>
      <c r="AB10" s="49" t="s">
        <v>37</v>
      </c>
      <c r="AC10" s="50" t="s">
        <v>32</v>
      </c>
      <c r="AD10" s="50" t="s">
        <v>33</v>
      </c>
      <c r="AE10" s="50" t="s">
        <v>33</v>
      </c>
      <c r="AF10" s="50" t="s">
        <v>34</v>
      </c>
      <c r="AG10" s="50" t="s">
        <v>35</v>
      </c>
      <c r="AH10" s="50" t="s">
        <v>36</v>
      </c>
      <c r="AI10" s="50" t="s">
        <v>37</v>
      </c>
      <c r="AJ10" s="50" t="s">
        <v>32</v>
      </c>
      <c r="AK10" s="50" t="s">
        <v>33</v>
      </c>
      <c r="AL10" s="50" t="s">
        <v>33</v>
      </c>
      <c r="AM10" s="50" t="s">
        <v>34</v>
      </c>
      <c r="AN10" s="50" t="s">
        <v>35</v>
      </c>
      <c r="AO10" s="50" t="s">
        <v>36</v>
      </c>
      <c r="AP10" s="50" t="s">
        <v>37</v>
      </c>
      <c r="AQ10" s="50" t="s">
        <v>32</v>
      </c>
      <c r="AR10" s="50" t="s">
        <v>33</v>
      </c>
      <c r="AS10" s="50" t="s">
        <v>33</v>
      </c>
      <c r="AT10" s="50" t="s">
        <v>34</v>
      </c>
      <c r="AU10" s="50" t="s">
        <v>35</v>
      </c>
      <c r="AV10" s="50" t="s">
        <v>36</v>
      </c>
      <c r="AW10" s="50" t="s">
        <v>37</v>
      </c>
      <c r="AX10" s="51" t="s">
        <v>32</v>
      </c>
      <c r="AY10" s="51" t="s">
        <v>33</v>
      </c>
      <c r="AZ10" s="51" t="s">
        <v>33</v>
      </c>
      <c r="BA10" s="51" t="s">
        <v>34</v>
      </c>
      <c r="BB10" s="51" t="s">
        <v>35</v>
      </c>
      <c r="BC10" s="51" t="s">
        <v>36</v>
      </c>
      <c r="BD10" s="51" t="s">
        <v>37</v>
      </c>
      <c r="BE10" s="51" t="s">
        <v>32</v>
      </c>
      <c r="BF10" s="51" t="s">
        <v>33</v>
      </c>
      <c r="BG10" s="51" t="s">
        <v>33</v>
      </c>
      <c r="BH10" s="51" t="s">
        <v>34</v>
      </c>
      <c r="BI10" s="51" t="s">
        <v>35</v>
      </c>
      <c r="BJ10" s="51" t="s">
        <v>36</v>
      </c>
      <c r="BK10" s="51" t="s">
        <v>37</v>
      </c>
      <c r="BL10" s="51" t="s">
        <v>32</v>
      </c>
      <c r="BM10" s="51" t="s">
        <v>33</v>
      </c>
      <c r="BN10" s="51" t="s">
        <v>33</v>
      </c>
      <c r="BO10" s="51" t="s">
        <v>34</v>
      </c>
      <c r="BP10" s="51" t="s">
        <v>35</v>
      </c>
      <c r="BQ10" s="51" t="s">
        <v>36</v>
      </c>
      <c r="BR10" s="51" t="s">
        <v>37</v>
      </c>
      <c r="BS10" s="52" t="s">
        <v>32</v>
      </c>
      <c r="BT10" s="52" t="s">
        <v>33</v>
      </c>
      <c r="BU10" s="52" t="s">
        <v>33</v>
      </c>
      <c r="BV10" s="52" t="s">
        <v>34</v>
      </c>
      <c r="BW10" s="52" t="s">
        <v>35</v>
      </c>
      <c r="BX10" s="52" t="s">
        <v>36</v>
      </c>
      <c r="BY10" s="52" t="s">
        <v>37</v>
      </c>
      <c r="BZ10" s="52" t="s">
        <v>32</v>
      </c>
      <c r="CA10" s="52" t="s">
        <v>33</v>
      </c>
      <c r="CB10" s="52" t="s">
        <v>33</v>
      </c>
      <c r="CC10" s="52" t="s">
        <v>34</v>
      </c>
      <c r="CD10" s="52" t="s">
        <v>35</v>
      </c>
      <c r="CE10" s="52" t="s">
        <v>36</v>
      </c>
      <c r="CF10" s="52" t="s">
        <v>37</v>
      </c>
      <c r="CG10" s="52" t="s">
        <v>32</v>
      </c>
      <c r="CH10" s="52" t="s">
        <v>33</v>
      </c>
      <c r="CI10" s="52" t="s">
        <v>33</v>
      </c>
      <c r="CJ10" s="52" t="s">
        <v>34</v>
      </c>
      <c r="CK10" s="52" t="s">
        <v>35</v>
      </c>
      <c r="CL10" s="53" t="s">
        <v>36</v>
      </c>
      <c r="CM10" s="53" t="s">
        <v>37</v>
      </c>
      <c r="CN10" s="48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7"/>
      <c r="I11" s="58"/>
      <c r="J11" s="59"/>
      <c r="K11" s="59"/>
      <c r="L11" s="60"/>
      <c r="M11" s="60"/>
      <c r="N11" s="60"/>
      <c r="O11" s="57"/>
      <c r="P11" s="60"/>
      <c r="Q11" s="57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32"/>
    </row>
    <row r="12" ht="17.25" customHeight="1" outlineLevel="1">
      <c r="A12" s="61"/>
      <c r="B12" s="62">
        <v>43101.0</v>
      </c>
      <c r="C12" s="63" t="s">
        <v>39</v>
      </c>
      <c r="D12" s="63" t="s">
        <v>40</v>
      </c>
      <c r="E12" s="64">
        <v>46267.0</v>
      </c>
      <c r="F12" s="64">
        <v>46269.0</v>
      </c>
      <c r="G12" s="65">
        <f t="shared" ref="G12:G14" si="1">DAYS360(E12,F12)</f>
        <v>2</v>
      </c>
      <c r="H12" s="66"/>
      <c r="I12" s="67"/>
      <c r="J12" s="68"/>
      <c r="K12" s="68"/>
      <c r="L12" s="69"/>
      <c r="M12" s="69"/>
      <c r="N12" s="69"/>
      <c r="O12" s="6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70"/>
      <c r="CL12" s="71"/>
      <c r="CM12" s="71"/>
      <c r="CN12" s="61"/>
    </row>
    <row r="13" ht="17.25" customHeight="1" outlineLevel="1">
      <c r="A13" s="61"/>
      <c r="B13" s="72" t="s">
        <v>41</v>
      </c>
      <c r="C13" s="73" t="s">
        <v>42</v>
      </c>
      <c r="D13" s="63" t="s">
        <v>43</v>
      </c>
      <c r="E13" s="74">
        <v>46267.0</v>
      </c>
      <c r="F13" s="74">
        <v>46269.0</v>
      </c>
      <c r="G13" s="75">
        <f t="shared" si="1"/>
        <v>2</v>
      </c>
      <c r="H13" s="76"/>
      <c r="I13" s="77"/>
      <c r="J13" s="78"/>
      <c r="K13" s="78"/>
      <c r="L13" s="79"/>
      <c r="M13" s="79"/>
      <c r="N13" s="79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80"/>
      <c r="CL13" s="71"/>
      <c r="CM13" s="71"/>
      <c r="CN13" s="61"/>
    </row>
    <row r="14" ht="17.25" customHeight="1" outlineLevel="1">
      <c r="A14" s="61"/>
      <c r="B14" s="72" t="s">
        <v>44</v>
      </c>
      <c r="C14" s="73" t="s">
        <v>45</v>
      </c>
      <c r="D14" s="63" t="s">
        <v>46</v>
      </c>
      <c r="E14" s="74">
        <v>46267.0</v>
      </c>
      <c r="F14" s="74">
        <v>46269.0</v>
      </c>
      <c r="G14" s="75">
        <f t="shared" si="1"/>
        <v>2</v>
      </c>
      <c r="H14" s="76"/>
      <c r="I14" s="77"/>
      <c r="J14" s="78"/>
      <c r="K14" s="78"/>
      <c r="L14" s="79"/>
      <c r="M14" s="79"/>
      <c r="N14" s="79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80"/>
      <c r="CL14" s="71"/>
      <c r="CM14" s="71"/>
      <c r="CN14" s="61"/>
    </row>
    <row r="15" ht="21.0" customHeight="1">
      <c r="A15" s="32"/>
      <c r="B15" s="54">
        <v>2.0</v>
      </c>
      <c r="C15" s="55" t="s">
        <v>47</v>
      </c>
      <c r="D15" s="56"/>
      <c r="E15" s="56"/>
      <c r="F15" s="56"/>
      <c r="G15" s="56"/>
      <c r="H15" s="81"/>
      <c r="I15" s="82"/>
      <c r="J15" s="83"/>
      <c r="K15" s="83"/>
      <c r="L15" s="84"/>
      <c r="M15" s="84"/>
      <c r="N15" s="84"/>
      <c r="O15" s="81"/>
      <c r="P15" s="84"/>
      <c r="Q15" s="81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32"/>
    </row>
    <row r="16" ht="17.25" customHeight="1" outlineLevel="1">
      <c r="A16" s="61"/>
      <c r="B16" s="62">
        <v>43102.0</v>
      </c>
      <c r="C16" s="63" t="s">
        <v>48</v>
      </c>
      <c r="D16" s="63" t="s">
        <v>49</v>
      </c>
      <c r="E16" s="64">
        <v>46269.0</v>
      </c>
      <c r="F16" s="64">
        <v>46272.0</v>
      </c>
      <c r="G16" s="65">
        <f t="shared" ref="G16:G20" si="2">DAYS360(E16,F16)</f>
        <v>3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71"/>
      <c r="CM16" s="71"/>
      <c r="CN16" s="61"/>
    </row>
    <row r="17" ht="17.25" customHeight="1" outlineLevel="1">
      <c r="A17" s="61"/>
      <c r="B17" s="62"/>
      <c r="C17" s="63" t="s">
        <v>50</v>
      </c>
      <c r="D17" s="63"/>
      <c r="E17" s="64">
        <v>46273.0</v>
      </c>
      <c r="F17" s="64">
        <v>46276.0</v>
      </c>
      <c r="G17" s="65">
        <f t="shared" si="2"/>
        <v>3</v>
      </c>
      <c r="H17" s="66"/>
      <c r="I17" s="67"/>
      <c r="J17" s="86"/>
      <c r="K17" s="87"/>
      <c r="L17" s="88"/>
      <c r="M17" s="88"/>
      <c r="N17" s="88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89"/>
      <c r="AN17" s="89"/>
      <c r="AO17" s="89"/>
      <c r="AP17" s="8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70"/>
      <c r="CL17" s="71"/>
      <c r="CM17" s="71"/>
      <c r="CN17" s="61"/>
    </row>
    <row r="18" ht="17.25" customHeight="1" outlineLevel="1">
      <c r="A18" s="61"/>
      <c r="B18" s="62">
        <v>43133.0</v>
      </c>
      <c r="C18" s="63" t="s">
        <v>51</v>
      </c>
      <c r="D18" s="63" t="s">
        <v>52</v>
      </c>
      <c r="E18" s="64">
        <v>46276.0</v>
      </c>
      <c r="F18" s="64">
        <v>46281.0</v>
      </c>
      <c r="G18" s="65">
        <f t="shared" si="2"/>
        <v>5</v>
      </c>
      <c r="H18" s="85"/>
      <c r="I18" s="90"/>
      <c r="J18" s="91"/>
      <c r="K18" s="91"/>
      <c r="L18" s="91"/>
      <c r="M18" s="92"/>
      <c r="N18" s="92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69"/>
      <c r="AH18" s="69"/>
      <c r="AI18" s="69"/>
      <c r="AJ18" s="69"/>
      <c r="AK18" s="69"/>
      <c r="AL18" s="95"/>
      <c r="AM18" s="96"/>
      <c r="AN18" s="96"/>
      <c r="AO18" s="96"/>
      <c r="AP18" s="96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7"/>
      <c r="CL18" s="71"/>
      <c r="CM18" s="71"/>
      <c r="CN18" s="61"/>
    </row>
    <row r="19" ht="17.25" customHeight="1" outlineLevel="1">
      <c r="A19" s="61"/>
      <c r="B19" s="62">
        <v>43161.0</v>
      </c>
      <c r="C19" s="63" t="s">
        <v>53</v>
      </c>
      <c r="D19" s="63" t="s">
        <v>52</v>
      </c>
      <c r="E19" s="64">
        <v>46281.0</v>
      </c>
      <c r="F19" s="64">
        <v>46283.0</v>
      </c>
      <c r="G19" s="65">
        <f t="shared" si="2"/>
        <v>2</v>
      </c>
      <c r="H19" s="85"/>
      <c r="I19" s="90"/>
      <c r="J19" s="93"/>
      <c r="K19" s="68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7"/>
      <c r="CL19" s="71"/>
      <c r="CM19" s="71"/>
      <c r="CN19" s="61"/>
    </row>
    <row r="20" ht="17.25" customHeight="1" outlineLevel="1">
      <c r="A20" s="61"/>
      <c r="B20" s="98"/>
      <c r="C20" s="99" t="s">
        <v>54</v>
      </c>
      <c r="D20" s="63" t="s">
        <v>52</v>
      </c>
      <c r="E20" s="64">
        <v>46283.0</v>
      </c>
      <c r="F20" s="64">
        <v>46290.0</v>
      </c>
      <c r="G20" s="65">
        <f t="shared" si="2"/>
        <v>7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71"/>
      <c r="CN20" s="61"/>
    </row>
    <row r="21" ht="21.0" customHeight="1">
      <c r="A21" s="32"/>
      <c r="B21" s="54">
        <v>3.0</v>
      </c>
      <c r="C21" s="55" t="s">
        <v>55</v>
      </c>
      <c r="D21" s="56"/>
      <c r="E21" s="56"/>
      <c r="F21" s="56"/>
      <c r="G21" s="56"/>
      <c r="H21" s="81"/>
      <c r="I21" s="82"/>
      <c r="J21" s="83"/>
      <c r="K21" s="83"/>
      <c r="L21" s="84"/>
      <c r="M21" s="84"/>
      <c r="N21" s="84"/>
      <c r="O21" s="81"/>
      <c r="P21" s="84"/>
      <c r="Q21" s="81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32"/>
    </row>
    <row r="22" ht="17.25" customHeight="1" outlineLevel="1">
      <c r="A22" s="61"/>
      <c r="B22" s="62">
        <v>43103.0</v>
      </c>
      <c r="C22" s="63" t="s">
        <v>56</v>
      </c>
      <c r="D22" s="63" t="s">
        <v>52</v>
      </c>
      <c r="E22" s="64">
        <v>46290.0</v>
      </c>
      <c r="F22" s="64">
        <v>46295.0</v>
      </c>
      <c r="G22" s="65">
        <f t="shared" ref="G22:G24" si="3">DAYS360(E22,F22)</f>
        <v>5</v>
      </c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71"/>
      <c r="CM22" s="71"/>
      <c r="CN22" s="61"/>
    </row>
    <row r="23" ht="17.25" customHeight="1" outlineLevel="1">
      <c r="A23" s="61"/>
      <c r="B23" s="62">
        <v>43134.0</v>
      </c>
      <c r="C23" s="63" t="s">
        <v>57</v>
      </c>
      <c r="D23" s="63" t="s">
        <v>52</v>
      </c>
      <c r="E23" s="64">
        <v>46290.0</v>
      </c>
      <c r="F23" s="64">
        <v>46295.0</v>
      </c>
      <c r="G23" s="65">
        <f t="shared" si="3"/>
        <v>5</v>
      </c>
      <c r="H23" s="85"/>
      <c r="I23" s="90"/>
      <c r="J23" s="93"/>
      <c r="K23" s="93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7"/>
      <c r="CL23" s="71"/>
      <c r="CM23" s="71"/>
      <c r="CN23" s="61"/>
    </row>
    <row r="24" ht="17.25" customHeight="1" outlineLevel="1">
      <c r="A24" s="61"/>
      <c r="B24" s="100" t="s">
        <v>58</v>
      </c>
      <c r="C24" s="63" t="s">
        <v>59</v>
      </c>
      <c r="D24" s="63" t="s">
        <v>52</v>
      </c>
      <c r="E24" s="64">
        <v>46295.0</v>
      </c>
      <c r="F24" s="64">
        <v>46302.0</v>
      </c>
      <c r="G24" s="65">
        <f t="shared" si="3"/>
        <v>7</v>
      </c>
      <c r="H24" s="85"/>
      <c r="I24" s="90"/>
      <c r="J24" s="93"/>
      <c r="K24" s="93"/>
      <c r="L24" s="94"/>
      <c r="M24" s="94"/>
      <c r="N24" s="94"/>
      <c r="O24" s="94"/>
      <c r="P24" s="94"/>
      <c r="Q24" s="94"/>
      <c r="R24" s="94"/>
      <c r="S24" s="94"/>
      <c r="T24" s="69"/>
      <c r="U24" s="69"/>
      <c r="V24" s="68"/>
      <c r="W24" s="68"/>
      <c r="X24" s="68"/>
      <c r="Y24" s="68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7"/>
      <c r="CL24" s="71"/>
      <c r="CM24" s="71"/>
      <c r="CN24" s="61"/>
    </row>
    <row r="25" ht="21.0" customHeight="1">
      <c r="A25" s="32"/>
      <c r="B25" s="54">
        <v>4.0</v>
      </c>
      <c r="C25" s="55" t="s">
        <v>60</v>
      </c>
      <c r="D25" s="56"/>
      <c r="E25" s="56"/>
      <c r="F25" s="56"/>
      <c r="G25" s="56"/>
      <c r="H25" s="81"/>
      <c r="I25" s="82"/>
      <c r="J25" s="83"/>
      <c r="K25" s="83"/>
      <c r="L25" s="84"/>
      <c r="M25" s="84"/>
      <c r="N25" s="84"/>
      <c r="O25" s="81"/>
      <c r="P25" s="84"/>
      <c r="Q25" s="81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32"/>
    </row>
    <row r="26" ht="17.25" customHeight="1" outlineLevel="1">
      <c r="A26" s="61"/>
      <c r="B26" s="62">
        <v>43104.0</v>
      </c>
      <c r="C26" s="63" t="s">
        <v>61</v>
      </c>
      <c r="D26" s="63" t="s">
        <v>49</v>
      </c>
      <c r="E26" s="64">
        <v>46302.0</v>
      </c>
      <c r="F26" s="64">
        <v>46309.0</v>
      </c>
      <c r="G26" s="65">
        <f t="shared" ref="G26:G27" si="4">DAYS360(E26,F26)</f>
        <v>7</v>
      </c>
      <c r="H26" s="85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71"/>
      <c r="CM26" s="71"/>
      <c r="CN26" s="61"/>
    </row>
    <row r="27" ht="17.25" customHeight="1" outlineLevel="1">
      <c r="A27" s="61"/>
      <c r="B27" s="62">
        <v>43135.0</v>
      </c>
      <c r="C27" s="63" t="s">
        <v>62</v>
      </c>
      <c r="D27" s="63" t="s">
        <v>49</v>
      </c>
      <c r="E27" s="64">
        <v>46309.0</v>
      </c>
      <c r="F27" s="64">
        <v>46310.0</v>
      </c>
      <c r="G27" s="65">
        <f t="shared" si="4"/>
        <v>1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71"/>
      <c r="CM27" s="71"/>
      <c r="CN27" s="61"/>
    </row>
    <row r="28" ht="21.0" customHeight="1">
      <c r="A28" s="32"/>
      <c r="B28" s="32"/>
      <c r="C28" s="102" t="s">
        <v>63</v>
      </c>
      <c r="D28" s="103"/>
      <c r="E28" s="103"/>
      <c r="F28" s="103"/>
      <c r="G28" s="104">
        <f>SUM(G11:G27)</f>
        <v>51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</row>
    <row r="29" ht="21.0" customHeight="1">
      <c r="A29" s="32"/>
      <c r="B29" s="32"/>
      <c r="C29" s="32"/>
      <c r="D29" s="32"/>
      <c r="E29" s="32"/>
      <c r="F29" s="32"/>
      <c r="G29" s="105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</row>
    <row r="30" ht="21.0" customHeight="1">
      <c r="A30" s="32"/>
      <c r="B30" s="32"/>
      <c r="C30" s="32"/>
      <c r="D30" s="32"/>
      <c r="E30" s="32"/>
      <c r="F30" s="32"/>
      <c r="G30" s="105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</row>
  </sheetData>
  <mergeCells count="33">
    <mergeCell ref="B2:G2"/>
    <mergeCell ref="B4:C4"/>
    <mergeCell ref="D4:G4"/>
    <mergeCell ref="Q4:AG4"/>
    <mergeCell ref="P2:AN2"/>
    <mergeCell ref="H2:O2"/>
    <mergeCell ref="H4:P4"/>
    <mergeCell ref="E8:E10"/>
    <mergeCell ref="F8:F10"/>
    <mergeCell ref="H8:AB8"/>
    <mergeCell ref="AC8:AW8"/>
    <mergeCell ref="AX8:BR8"/>
    <mergeCell ref="BS8:CM8"/>
    <mergeCell ref="B5:C5"/>
    <mergeCell ref="D5:G5"/>
    <mergeCell ref="B8:B10"/>
    <mergeCell ref="C8:C10"/>
    <mergeCell ref="D8:D10"/>
    <mergeCell ref="Q5:AF5"/>
    <mergeCell ref="H5:P5"/>
    <mergeCell ref="V9:AB9"/>
    <mergeCell ref="BL9:BR9"/>
    <mergeCell ref="BS9:BY9"/>
    <mergeCell ref="BZ9:CF9"/>
    <mergeCell ref="CG9:CM9"/>
    <mergeCell ref="H9:N9"/>
    <mergeCell ref="O9:U9"/>
    <mergeCell ref="AC9:AI9"/>
    <mergeCell ref="AJ9:AP9"/>
    <mergeCell ref="AQ9:AW9"/>
    <mergeCell ref="AX9:BD9"/>
    <mergeCell ref="BE9:BK9"/>
    <mergeCell ref="G8:G10"/>
  </mergeCells>
  <conditionalFormatting sqref="H12:CM27">
    <cfRule type="expression" dxfId="0" priority="1" stopIfTrue="1">
      <formula>AND(NOT(ISBLANK($E12)), $G12&gt;0, ($Q$5-WEEKDAY($Q$5,2)+1 + COLUMN()-8) &gt;= $E12, ($Q$5-WEEKDAY($Q$5,2)+1 + COLUMN()-8) &lt;= $F12)</formula>
    </cfRule>
  </conditionalFormatting>
  <dataValidations>
    <dataValidation type="custom" allowBlank="1" sqref="E12:E14">
      <formula1>OR(NOT(ISERROR(DATEVALUE(E12))), AND(ISNUMBER(E12), LEFT(CELL("format", E12))="D"))</formula1>
    </dataValidation>
  </dataValidations>
  <drawing r:id="rId1"/>
</worksheet>
</file>